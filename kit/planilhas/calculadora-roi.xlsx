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adas" sheetId="1" state="visible" r:id="rId1"/>
    <sheet name="Cenários" sheetId="2" state="visible" r:id="rId2"/>
    <sheet name="Custos API" sheetId="3" state="visible" r:id="rId3"/>
    <sheet name="Como us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R$ #,##0"/>
    <numFmt numFmtId="165" formatCode="0.0"/>
    <numFmt numFmtId="166" formatCode="0.00&quot;x&quot;"/>
    <numFmt numFmtId="167" formatCode="#,##0.0"/>
    <numFmt numFmtId="168" formatCode="R$ #,##0.0000"/>
    <numFmt numFmtId="169" formatCode="R$ #,##0.00"/>
  </numFmts>
  <fonts count="9">
    <font>
      <name val="Calibri"/>
      <family val="2"/>
      <color theme="1"/>
      <sz val="11"/>
      <scheme val="minor"/>
    </font>
    <font>
      <name val="Calibri"/>
      <b val="1"/>
      <color rgb="000F0F0D"/>
      <sz val="18"/>
    </font>
    <font>
      <name val="Calibri"/>
      <i val="1"/>
      <color rgb="006B655C"/>
      <sz val="10"/>
    </font>
    <font>
      <b val="1"/>
      <sz val="10"/>
    </font>
    <font>
      <b val="1"/>
      <sz val="11"/>
    </font>
    <font>
      <name val="Calibri"/>
      <b val="1"/>
      <color rgb="00FFFFFF"/>
      <sz val="10"/>
    </font>
    <font>
      <name val="Calibri"/>
      <color rgb="00121110"/>
      <sz val="10"/>
    </font>
    <font>
      <b val="1"/>
    </font>
    <font>
      <name val="Consolas"/>
      <b val="1"/>
      <color rgb="008F6F2E"/>
      <sz val="10"/>
    </font>
  </fonts>
  <fills count="6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0F0F0D"/>
      </patternFill>
    </fill>
    <fill>
      <patternFill patternType="solid">
        <fgColor rgb="00EFEADF"/>
      </patternFill>
    </fill>
    <fill>
      <patternFill patternType="solid">
        <fgColor rgb="00F7F4ED"/>
      </patternFill>
    </fill>
  </fills>
  <borders count="2">
    <border>
      <left/>
      <right/>
      <top/>
      <bottom/>
      <diagonal/>
    </border>
    <border>
      <left style="thin">
        <color rgb="00D8D2C4"/>
      </left>
      <right style="thin">
        <color rgb="00D8D2C4"/>
      </right>
      <top style="thin">
        <color rgb="00D8D2C4"/>
      </top>
      <bottom style="thin">
        <color rgb="00D8D2C4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4" fillId="2" borderId="1" pivotButton="0" quotePrefix="0" xfId="0"/>
    <xf numFmtId="0" fontId="2" fillId="0" borderId="0" applyAlignment="1" pivotButton="0" quotePrefix="0" xfId="0">
      <alignment vertical="top" wrapText="1"/>
    </xf>
    <xf numFmtId="10" fontId="4" fillId="2" borderId="1" pivotButton="0" quotePrefix="0" xfId="0"/>
    <xf numFmtId="164" fontId="4" fillId="2" borderId="1" pivotButton="0" quotePrefix="0" xfId="0"/>
    <xf numFmtId="9" fontId="4" fillId="2" borderId="1" pivotButton="0" quotePrefix="0" xfId="0"/>
    <xf numFmtId="165" fontId="4" fillId="2" borderId="1" pivotButton="0" quotePrefix="0" xfId="0"/>
    <xf numFmtId="0" fontId="5" fillId="3" borderId="1" applyAlignment="1" pivotButton="0" quotePrefix="0" xfId="0">
      <alignment horizontal="left" vertical="center" wrapText="1"/>
    </xf>
    <xf numFmtId="166" fontId="0" fillId="2" borderId="0" pivotButton="0" quotePrefix="0" xfId="0"/>
    <xf numFmtId="10" fontId="0" fillId="4" borderId="1" pivotButton="0" quotePrefix="0" xfId="0"/>
    <xf numFmtId="167" fontId="0" fillId="4" borderId="1" pivotButton="0" quotePrefix="0" xfId="0"/>
    <xf numFmtId="164" fontId="0" fillId="4" borderId="1" pivotButton="0" quotePrefix="0" xfId="0"/>
    <xf numFmtId="2" fontId="0" fillId="4" borderId="1" pivotButton="0" quotePrefix="0" xfId="0"/>
    <xf numFmtId="0" fontId="6" fillId="2" borderId="1" applyAlignment="1" pivotButton="0" quotePrefix="0" xfId="0">
      <alignment vertical="top" wrapText="1"/>
    </xf>
    <xf numFmtId="3" fontId="0" fillId="2" borderId="1" applyAlignment="1" pivotButton="0" quotePrefix="0" xfId="0">
      <alignment vertical="top" wrapText="1"/>
    </xf>
    <xf numFmtId="168" fontId="0" fillId="2" borderId="1" applyAlignment="1" pivotButton="0" quotePrefix="0" xfId="0">
      <alignment vertical="top" wrapText="1"/>
    </xf>
    <xf numFmtId="169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  <xf numFmtId="168" fontId="0" fillId="5" borderId="1" applyAlignment="1" pivotButton="0" quotePrefix="0" xfId="0">
      <alignment vertical="top" wrapText="1"/>
    </xf>
    <xf numFmtId="169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7" fillId="0" borderId="0" pivotButton="0" quotePrefix="0" xfId="0"/>
    <xf numFmtId="169" fontId="4" fillId="4" borderId="0" pivotButton="0" quotePrefix="0" xfId="0"/>
    <xf numFmtId="0" fontId="8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60" customWidth="1" min="3" max="3"/>
  </cols>
  <sheetData>
    <row r="1" ht="26" customHeight="1">
      <c r="A1" s="1" t="inlineStr">
        <is>
          <t>Calculadora de ROI do Growth Stack</t>
        </is>
      </c>
    </row>
    <row r="2" ht="16" customHeight="1">
      <c r="A2" s="2" t="inlineStr">
        <is>
          <t>Preencha as células brancas. As demais são calculadas. Use números que você possa defender.</t>
        </is>
      </c>
    </row>
    <row r="5">
      <c r="A5" s="3" t="inlineStr">
        <is>
          <t>Visitas mensais da página</t>
        </is>
      </c>
      <c r="B5" s="4" t="n">
        <v>3000</v>
      </c>
      <c r="C5" s="5" t="inlineStr">
        <is>
          <t>Dado do analytics — não estime.</t>
        </is>
      </c>
    </row>
    <row r="6">
      <c r="A6" s="3" t="inlineStr">
        <is>
          <t>Taxa de conversão atual</t>
        </is>
      </c>
      <c r="B6" s="6" t="n">
        <v>0.012</v>
      </c>
      <c r="C6" s="5" t="inlineStr">
        <is>
          <t>Conversões / visitas. Se não mede, use 0,5% como ponto de partida conservador.</t>
        </is>
      </c>
    </row>
    <row r="7">
      <c r="A7" s="3" t="inlineStr">
        <is>
          <t>Ticket médio (R$)</t>
        </is>
      </c>
      <c r="B7" s="7" t="n">
        <v>1200</v>
      </c>
      <c r="C7" s="5" t="inlineStr">
        <is>
          <t>Receita média por conversão.</t>
        </is>
      </c>
    </row>
    <row r="8">
      <c r="A8" s="3" t="inlineStr">
        <is>
          <t>Margem bruta (%)</t>
        </is>
      </c>
      <c r="B8" s="8" t="n">
        <v>0.6</v>
      </c>
      <c r="C8" s="5" t="inlineStr">
        <is>
          <t>Parte da receita que sobra depois do custo direto de entrega.</t>
        </is>
      </c>
    </row>
    <row r="9">
      <c r="A9" s="3" t="inlineStr">
        <is>
          <t>Horas de trabalho por projeto</t>
        </is>
      </c>
      <c r="B9" s="9" t="n">
        <v>12</v>
      </c>
      <c r="C9" s="5" t="inlineStr">
        <is>
          <t>Tempo humano real gasto no funil completo.</t>
        </is>
      </c>
    </row>
    <row r="10">
      <c r="A10" s="3" t="inlineStr">
        <is>
          <t>Valor da sua hora (R$)</t>
        </is>
      </c>
      <c r="B10" s="7" t="n">
        <v>120</v>
      </c>
      <c r="C10" s="5" t="inlineStr">
        <is>
          <t>Se você não sabe, use o valor que cobraria por consultoria.</t>
        </is>
      </c>
    </row>
    <row r="11">
      <c r="A11" s="3" t="inlineStr">
        <is>
          <t>Custo mensal das APIs (R$)</t>
        </is>
      </c>
      <c r="B11" s="7" t="n">
        <v>150</v>
      </c>
      <c r="C11" s="5" t="inlineStr">
        <is>
          <t>Da aba Custos do Growth Stack Dashboard.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</cols>
  <sheetData>
    <row r="1" ht="26" customHeight="1">
      <c r="A1" s="1" t="inlineStr">
        <is>
          <t>Cenários de resultado</t>
        </is>
      </c>
    </row>
    <row r="2" ht="16" customHeight="1">
      <c r="A2" s="2" t="inlineStr">
        <is>
          <t>Três hipóteses de melhora de conversão. O cenário conservador é o único que você pode apresentar como expectativa.</t>
        </is>
      </c>
    </row>
    <row r="4" ht="30" customHeight="1">
      <c r="A4" s="10" t="inlineStr">
        <is>
          <t>Indicador</t>
        </is>
      </c>
      <c r="B4" s="10" t="inlineStr">
        <is>
          <t>Conservador</t>
        </is>
      </c>
      <c r="C4" s="10" t="inlineStr">
        <is>
          <t>Base</t>
        </is>
      </c>
      <c r="D4" s="10" t="inlineStr">
        <is>
          <t>Otimista</t>
        </is>
      </c>
    </row>
    <row r="5">
      <c r="B5" s="11" t="n">
        <v>1.15</v>
      </c>
      <c r="C5" s="11" t="n">
        <v>1.4</v>
      </c>
      <c r="D5" s="11" t="n">
        <v>1.75</v>
      </c>
    </row>
    <row r="6">
      <c r="A6" s="3" t="inlineStr">
        <is>
          <t>Nova taxa de conversão</t>
        </is>
      </c>
      <c r="B6" s="12">
        <f>Entradas!$B$6*B5</f>
        <v/>
      </c>
      <c r="C6" s="12">
        <f>Entradas!$B$6*C5</f>
        <v/>
      </c>
      <c r="D6" s="12">
        <f>Entradas!$B$6*D5</f>
        <v/>
      </c>
    </row>
    <row r="7">
      <c r="A7" s="3" t="inlineStr">
        <is>
          <t>Conversões atuais/mês</t>
        </is>
      </c>
      <c r="B7" s="13">
        <f>Entradas!$B$5*Entradas!$B$6</f>
        <v/>
      </c>
      <c r="C7" s="13">
        <f>Entradas!$B$5*Entradas!$B$6</f>
        <v/>
      </c>
      <c r="D7" s="13">
        <f>Entradas!$B$5*Entradas!$B$6</f>
        <v/>
      </c>
    </row>
    <row r="8">
      <c r="A8" s="3" t="inlineStr">
        <is>
          <t>Conversões novas/mês</t>
        </is>
      </c>
      <c r="B8" s="13">
        <f>Entradas!$B$5*B5</f>
        <v/>
      </c>
      <c r="C8" s="13">
        <f>Entradas!$B$5*C5</f>
        <v/>
      </c>
      <c r="D8" s="13">
        <f>Entradas!$B$5*D5</f>
        <v/>
      </c>
    </row>
    <row r="9">
      <c r="A9" s="3" t="inlineStr">
        <is>
          <t>Receita atual/mês</t>
        </is>
      </c>
      <c r="B9" s="14">
        <f>Entradas!$B$5*Entradas!$B$6*Entradas!$B$7</f>
        <v/>
      </c>
      <c r="C9" s="14">
        <f>Entradas!$B$5*Entradas!$B$6*Entradas!$B$7</f>
        <v/>
      </c>
      <c r="D9" s="14">
        <f>Entradas!$B$5*Entradas!$B$6*Entradas!$B$7</f>
        <v/>
      </c>
    </row>
    <row r="10">
      <c r="A10" s="3" t="inlineStr">
        <is>
          <t>Receita nova/mês</t>
        </is>
      </c>
      <c r="B10" s="14">
        <f>Entradas!$B$5*B5*Entradas!$B$7</f>
        <v/>
      </c>
      <c r="C10" s="14">
        <f>Entradas!$B$5*C5*Entradas!$B$7</f>
        <v/>
      </c>
      <c r="D10" s="14">
        <f>Entradas!$B$5*D5*Entradas!$B$7</f>
        <v/>
      </c>
    </row>
    <row r="11">
      <c r="A11" s="3" t="inlineStr">
        <is>
          <t>Receita adicional/mês</t>
        </is>
      </c>
      <c r="B11" s="14">
        <f>B10-B9</f>
        <v/>
      </c>
      <c r="C11" s="14">
        <f>C10-C9</f>
        <v/>
      </c>
      <c r="D11" s="14">
        <f>D10-D9</f>
        <v/>
      </c>
    </row>
    <row r="12">
      <c r="A12" s="3" t="inlineStr">
        <is>
          <t>Margem sobre o adicional</t>
        </is>
      </c>
      <c r="B12" s="14">
        <f>B11*Entradas!$B$8</f>
        <v/>
      </c>
      <c r="C12" s="14">
        <f>C11*Entradas!$B$8</f>
        <v/>
      </c>
      <c r="D12" s="14">
        <f>D11*Entradas!$B$8</f>
        <v/>
      </c>
    </row>
    <row r="13">
      <c r="A13" s="3" t="inlineStr">
        <is>
          <t>Custo do projeto (horas + APIs)</t>
        </is>
      </c>
      <c r="B13" s="14">
        <f>Entradas!$B$9*Entradas!$B$10+Entradas!$B$11</f>
        <v/>
      </c>
      <c r="C13" s="14">
        <f>Entradas!$B$9*Entradas!$B$10+Entradas!$B$11</f>
        <v/>
      </c>
      <c r="D13" s="14">
        <f>Entradas!$B$9*Entradas!$B$10+Entradas!$B$11</f>
        <v/>
      </c>
    </row>
    <row r="14">
      <c r="A14" s="3" t="inlineStr">
        <is>
          <t>Resultado no 1º mês</t>
        </is>
      </c>
      <c r="B14" s="14">
        <f>B12-B13</f>
        <v/>
      </c>
      <c r="C14" s="14">
        <f>C12-C13</f>
        <v/>
      </c>
      <c r="D14" s="14">
        <f>D12-D13</f>
        <v/>
      </c>
    </row>
    <row r="15">
      <c r="A15" s="3" t="inlineStr">
        <is>
          <t>ROI no 1º mês</t>
        </is>
      </c>
      <c r="B15" s="15">
        <f>IFERROR(B14/B13,0)</f>
        <v/>
      </c>
      <c r="C15" s="15">
        <f>IFERROR(C14/C13,0)</f>
        <v/>
      </c>
      <c r="D15" s="15">
        <f>IFERROR(D14/D13,0)</f>
        <v/>
      </c>
    </row>
    <row r="16">
      <c r="A16" s="3" t="inlineStr">
        <is>
          <t>Payback (meses)</t>
        </is>
      </c>
      <c r="B16" s="15">
        <f>IFERROR(B13/B12,0)</f>
        <v/>
      </c>
      <c r="C16" s="15">
        <f>IFERROR(C13/C12,0)</f>
        <v/>
      </c>
      <c r="D16" s="15">
        <f>IFERROR(D13/D12,0)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Custo das APIs</t>
        </is>
      </c>
    </row>
    <row r="2" ht="16" customHeight="1">
      <c r="A2" s="2" t="inlineStr">
        <is>
          <t>Estime por projeto antes de propor o preço ao cliente. Revise mensalmente.</t>
        </is>
      </c>
    </row>
    <row r="4" ht="30" customHeight="1">
      <c r="A4" s="10" t="inlineStr">
        <is>
          <t>API</t>
        </is>
      </c>
      <c r="B4" s="10" t="inlineStr">
        <is>
          <t>Chamadas por projeto</t>
        </is>
      </c>
      <c r="C4" s="10" t="inlineStr">
        <is>
          <t>Custo unitário</t>
        </is>
      </c>
      <c r="D4" s="10" t="inlineStr">
        <is>
          <t>Custo no projeto</t>
        </is>
      </c>
      <c r="E4" s="10" t="inlineStr">
        <is>
          <t>Observação</t>
        </is>
      </c>
    </row>
    <row r="5">
      <c r="A5" s="16" t="inlineStr">
        <is>
          <t>Website Data Extraction</t>
        </is>
      </c>
      <c r="B5" s="17" t="n">
        <v>1</v>
      </c>
      <c r="C5" s="18" t="n"/>
      <c r="D5" s="19">
        <f>B5*C5</f>
        <v/>
      </c>
      <c r="E5" s="20" t="n"/>
    </row>
    <row r="6">
      <c r="A6" s="21" t="inlineStr">
        <is>
          <t>AI SEO Analysis</t>
        </is>
      </c>
      <c r="B6" s="22" t="n">
        <v>1</v>
      </c>
      <c r="C6" s="23" t="n"/>
      <c r="D6" s="24">
        <f>B6*C6</f>
        <v/>
      </c>
      <c r="E6" s="25" t="n"/>
    </row>
    <row r="7">
      <c r="A7" s="16" t="inlineStr">
        <is>
          <t>AI Conversion Optimization</t>
        </is>
      </c>
      <c r="B7" s="17" t="n">
        <v>1</v>
      </c>
      <c r="C7" s="18" t="n"/>
      <c r="D7" s="19">
        <f>B7*C7</f>
        <v/>
      </c>
      <c r="E7" s="20" t="n"/>
    </row>
    <row r="8">
      <c r="A8" s="21" t="inlineStr">
        <is>
          <t>AI Website Copywriter</t>
        </is>
      </c>
      <c r="B8" s="22" t="n">
        <v>1</v>
      </c>
      <c r="C8" s="23" t="n"/>
      <c r="D8" s="24">
        <f>B8*C8</f>
        <v/>
      </c>
      <c r="E8" s="25" t="n"/>
    </row>
    <row r="9">
      <c r="A9" s="16" t="inlineStr">
        <is>
          <t>AI Landing Page Optimizer</t>
        </is>
      </c>
      <c r="B9" s="17" t="n">
        <v>1</v>
      </c>
      <c r="C9" s="18" t="n"/>
      <c r="D9" s="19">
        <f>B9*C9</f>
        <v/>
      </c>
      <c r="E9" s="20" t="n"/>
    </row>
    <row r="10">
      <c r="A10" s="21" t="inlineStr">
        <is>
          <t>AI Social Media Generator</t>
        </is>
      </c>
      <c r="B10" s="22" t="n">
        <v>1</v>
      </c>
      <c r="C10" s="23" t="n"/>
      <c r="D10" s="24">
        <f>B10*C10</f>
        <v/>
      </c>
      <c r="E10" s="25" t="n"/>
    </row>
    <row r="11">
      <c r="A11" s="26" t="n"/>
      <c r="B11" s="26" t="n"/>
      <c r="C11" s="26" t="n"/>
      <c r="D11" s="20" t="n"/>
      <c r="E11" s="20" t="n"/>
    </row>
    <row r="12">
      <c r="A12" s="25" t="n"/>
      <c r="B12" s="25" t="n"/>
      <c r="C12" s="25" t="n"/>
      <c r="D12" s="25" t="n"/>
      <c r="E12" s="25" t="n"/>
    </row>
    <row r="13">
      <c r="C13" s="27" t="inlineStr">
        <is>
          <t>TOTAL</t>
        </is>
      </c>
      <c r="D13" s="28">
        <f>SUM(D5:D10)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10"/>
  <sheetViews>
    <sheetView workbookViewId="0">
      <selection activeCell="A1" sqref="A1"/>
    </sheetView>
  </sheetViews>
  <sheetFormatPr baseColWidth="8" defaultRowHeight="15"/>
  <cols>
    <col width="4" customWidth="1" min="1" max="1"/>
    <col width="108" customWidth="1" min="2" max="2"/>
  </cols>
  <sheetData>
    <row r="2">
      <c r="B2" s="1" t="inlineStr">
        <is>
          <t>Como usar esta calculadora</t>
        </is>
      </c>
    </row>
    <row r="4" ht="32" customHeight="1">
      <c r="A4" s="29" t="inlineStr">
        <is>
          <t>1.</t>
        </is>
      </c>
      <c r="B4" s="30" t="inlineStr">
        <is>
          <t>Preencha a aba Entradas com dados do SEU projeto. Se não tiver o número, não invente — meça ou use o ponto de partida conservador indicado.</t>
        </is>
      </c>
    </row>
    <row r="5" ht="32" customHeight="1">
      <c r="A5" s="29" t="inlineStr">
        <is>
          <t>2.</t>
        </is>
      </c>
      <c r="B5" s="30" t="inlineStr">
        <is>
          <t>Na aba Cenários, ajuste apenas os multiplicadores (1,15x / 1,40x / 1,75x). Eles representam o quanto a taxa de conversão melhora depois do trabalho.</t>
        </is>
      </c>
    </row>
    <row r="6" ht="32" customHeight="1">
      <c r="A6" s="29" t="inlineStr">
        <is>
          <t>3.</t>
        </is>
      </c>
      <c r="B6" s="30" t="inlineStr">
        <is>
          <t>O cenário conservador é o único que pode ser apresentado ao cliente como expectativa. Os outros dois servem para você decidir se vale aceitar o projeto.</t>
        </is>
      </c>
    </row>
    <row r="7" ht="32" customHeight="1">
      <c r="A7" s="29" t="inlineStr">
        <is>
          <t>4.</t>
        </is>
      </c>
      <c r="B7" s="30" t="inlineStr">
        <is>
          <t>Se o payback for maior que 3 meses no cenário conservador, o projeto provavelmente não fecha — reduza escopo, aumente ticket ou escolha outro cliente.</t>
        </is>
      </c>
    </row>
    <row r="8" ht="16" customHeight="1">
      <c r="A8" s="29" t="inlineStr"/>
      <c r="B8" s="30" t="inlineStr"/>
    </row>
    <row r="9" ht="32" customHeight="1">
      <c r="A9" s="29" t="inlineStr">
        <is>
          <t>Importante.</t>
        </is>
      </c>
      <c r="B9" s="30" t="inlineStr">
        <is>
          <t>Isto é uma ferramenta de decisão, não uma previsão. Melhora de conversão depende de oferta, público, tráfego e execução. Nunca apresente estes números como garantia.</t>
        </is>
      </c>
    </row>
    <row r="10" ht="32" customHeight="1">
      <c r="A10" s="29" t="inlineStr">
        <is>
          <t>Ética.</t>
        </is>
      </c>
      <c r="B10" s="30" t="inlineStr">
        <is>
          <t>Se você usar esta planilha com um cliente, deixe claro que os valores são cenários hipotéticos construídos a partir de dados que ele forneceu.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2026-10-05T16:12:02Z</dcterms:created>
  <dcterms:modified xsi:type="dcterms:W3CDTF">2026-10-05T16:12:02Z</dcterms:modified>
</cp:coreProperties>
</file>